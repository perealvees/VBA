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F94E1B8B-1C81-45BE-B588-4974CCB0AD1C}" xr6:coauthVersionLast="47" xr6:coauthVersionMax="47" xr10:uidLastSave="{00000000-0000-0000-0000-000000000000}"/>
  <bookViews>
    <workbookView xWindow="-12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3" i="1"/>
  <c r="E3" i="1"/>
  <c r="B2" i="8"/>
  <c r="B3" i="8"/>
  <c r="B4" i="8"/>
  <c r="B5" i="8"/>
  <c r="B6" i="8"/>
  <c r="B7" i="8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 a="1"/>
  <c r="E123" i="1" l="1"/>
  <c r="E124" i="1" s="1"/>
  <c r="C124" i="1"/>
  <c r="D124" i="1"/>
  <c r="F4" i="1" a="1"/>
  <c r="F6" i="1" a="1"/>
  <c r="F3" i="1" a="1"/>
  <c r="F5" i="1" a="1"/>
  <c r="F15" i="1" a="1"/>
  <c r="F23" i="1" a="1"/>
  <c r="F31" i="1" a="1"/>
  <c r="F39" i="1" a="1"/>
  <c r="F47" i="1" a="1"/>
  <c r="F55" i="1" a="1"/>
  <c r="F63" i="1" a="1"/>
  <c r="F71" i="1" a="1"/>
  <c r="F10" i="1" a="1"/>
  <c r="F26" i="1" a="1"/>
  <c r="F42" i="1" a="1"/>
  <c r="F58" i="1" a="1"/>
  <c r="F74" i="1" a="1"/>
  <c r="F89" i="1" a="1"/>
  <c r="F105" i="1" a="1"/>
  <c r="F121" i="1" a="1"/>
  <c r="F92" i="1" a="1"/>
  <c r="F108" i="1" a="1"/>
  <c r="F8" i="1" a="1"/>
  <c r="F24" i="1" a="1"/>
  <c r="F40" i="1" a="1"/>
  <c r="F56" i="1" a="1"/>
  <c r="F72" i="1" a="1"/>
  <c r="F90" i="1" a="1"/>
  <c r="F106" i="1" a="1"/>
  <c r="F114" i="1" a="1"/>
  <c r="F88" i="1" a="1"/>
  <c r="F112" i="1" a="1"/>
  <c r="H117" i="1" a="1"/>
  <c r="H22" i="1" a="1"/>
  <c r="H11" i="1" a="1"/>
  <c r="H62" i="1" a="1"/>
  <c r="H53" i="1" a="1"/>
  <c r="H74" i="1" a="1"/>
  <c r="H81" i="1" a="1"/>
  <c r="H37" i="1" a="1"/>
  <c r="H71" i="1" a="1"/>
  <c r="H89" i="1" a="1"/>
  <c r="H84" i="1" a="1"/>
  <c r="H23" i="1" a="1"/>
  <c r="H47" i="1" a="1"/>
  <c r="H26" i="1" a="1"/>
  <c r="H42" i="1" a="1"/>
  <c r="H76" i="1" a="1"/>
  <c r="H93" i="1" a="1"/>
  <c r="H96" i="1" a="1"/>
  <c r="H34" i="1" a="1"/>
  <c r="H116" i="1" a="1"/>
  <c r="H75" i="1" a="1"/>
  <c r="H41" i="1" a="1"/>
  <c r="H35" i="1" a="1"/>
  <c r="H67" i="1" a="1"/>
  <c r="H12" i="1" a="1"/>
  <c r="H6" i="1" a="1"/>
  <c r="H29" i="1" a="1"/>
  <c r="H109" i="1" a="1"/>
  <c r="H118" i="1" a="1"/>
  <c r="H94" i="1" a="1"/>
  <c r="F7" i="1" a="1"/>
  <c r="F17" i="1" a="1"/>
  <c r="F25" i="1" a="1"/>
  <c r="F33" i="1" a="1"/>
  <c r="F41" i="1" a="1"/>
  <c r="F49" i="1" a="1"/>
  <c r="F57" i="1" a="1"/>
  <c r="F65" i="1" a="1"/>
  <c r="F73" i="1" a="1"/>
  <c r="F14" i="1" a="1"/>
  <c r="F30" i="1" a="1"/>
  <c r="F46" i="1" a="1"/>
  <c r="F62" i="1" a="1"/>
  <c r="F78" i="1" a="1"/>
  <c r="F94" i="1" a="1"/>
  <c r="F110" i="1" a="1"/>
  <c r="F79" i="1" a="1"/>
  <c r="F95" i="1" a="1"/>
  <c r="F111" i="1" a="1"/>
  <c r="F12" i="1" a="1"/>
  <c r="F28" i="1" a="1"/>
  <c r="F44" i="1" a="1"/>
  <c r="F60" i="1" a="1"/>
  <c r="F76" i="1" a="1"/>
  <c r="F93" i="1" a="1"/>
  <c r="F109" i="1" a="1"/>
  <c r="F83" i="1" a="1"/>
  <c r="F120" i="1" a="1"/>
  <c r="F96" i="1" a="1"/>
  <c r="H70" i="1" a="1"/>
  <c r="H119" i="1" a="1"/>
  <c r="H31" i="1" a="1"/>
  <c r="H90" i="1" a="1"/>
  <c r="H27" i="1" a="1"/>
  <c r="H43" i="1" a="1"/>
  <c r="H56" i="1" a="1"/>
  <c r="H14" i="1" a="1"/>
  <c r="H111" i="1" a="1"/>
  <c r="H121" i="1" a="1"/>
  <c r="H64" i="1" a="1"/>
  <c r="H50" i="1" a="1"/>
  <c r="H105" i="1" a="1"/>
  <c r="H48" i="1" a="1"/>
  <c r="H98" i="1" a="1"/>
  <c r="H80" i="1" a="1"/>
  <c r="H92" i="1" a="1"/>
  <c r="H72" i="1" a="1"/>
  <c r="H36" i="1" a="1"/>
  <c r="H100" i="1" a="1"/>
  <c r="H13" i="1" a="1"/>
  <c r="H66" i="1" a="1"/>
  <c r="H10" i="1" a="1"/>
  <c r="H60" i="1" a="1"/>
  <c r="H40" i="1" a="1"/>
  <c r="H55" i="1" a="1"/>
  <c r="H114" i="1" a="1"/>
  <c r="H86" i="1" a="1"/>
  <c r="H4" i="1" a="1"/>
  <c r="H102" i="1" a="1"/>
  <c r="F9" i="1" a="1"/>
  <c r="F19" i="1" a="1"/>
  <c r="F27" i="1" a="1"/>
  <c r="F35" i="1" a="1"/>
  <c r="F43" i="1" a="1"/>
  <c r="F51" i="1" a="1"/>
  <c r="F59" i="1" a="1"/>
  <c r="F67" i="1" a="1"/>
  <c r="F13" i="1" a="1"/>
  <c r="F11" i="1" a="1"/>
  <c r="F45" i="1" a="1"/>
  <c r="F75" i="1" a="1"/>
  <c r="F34" i="1" a="1"/>
  <c r="F66" i="1" a="1"/>
  <c r="F97" i="1" a="1"/>
  <c r="F84" i="1" a="1"/>
  <c r="F116" i="1" a="1"/>
  <c r="F32" i="1" a="1"/>
  <c r="F64" i="1" a="1"/>
  <c r="F98" i="1" a="1"/>
  <c r="F104" i="1" a="1"/>
  <c r="F107" i="1" a="1"/>
  <c r="H85" i="1" a="1"/>
  <c r="H21" i="1" a="1"/>
  <c r="H51" i="1" a="1"/>
  <c r="H8" i="1" a="1"/>
  <c r="H25" i="1" a="1"/>
  <c r="H33" i="1" a="1"/>
  <c r="H52" i="1" a="1"/>
  <c r="H108" i="1" a="1"/>
  <c r="H24" i="1" a="1"/>
  <c r="H78" i="1" a="1"/>
  <c r="H3" i="1" a="1"/>
  <c r="H113" i="1" a="1"/>
  <c r="H17" i="1" a="1"/>
  <c r="H69" i="1" a="1"/>
  <c r="H106" i="1" a="1"/>
  <c r="F113" i="1" a="1"/>
  <c r="F82" i="1" a="1"/>
  <c r="F80" i="1" a="1"/>
  <c r="H63" i="1" a="1"/>
  <c r="H82" i="1" a="1"/>
  <c r="H107" i="1" a="1"/>
  <c r="H122" i="1" a="1"/>
  <c r="H95" i="1" a="1"/>
  <c r="H120" i="1" a="1"/>
  <c r="H103" i="1" a="1"/>
  <c r="F37" i="1" a="1"/>
  <c r="F22" i="1" a="1"/>
  <c r="F54" i="1" a="1"/>
  <c r="F118" i="1" a="1"/>
  <c r="F20" i="1" a="1"/>
  <c r="F85" i="1" a="1"/>
  <c r="F91" i="1" a="1"/>
  <c r="H68" i="1" a="1"/>
  <c r="H18" i="1" a="1"/>
  <c r="H115" i="1" a="1"/>
  <c r="H44" i="1" a="1"/>
  <c r="H65" i="1" a="1"/>
  <c r="H83" i="1" a="1"/>
  <c r="F21" i="1" a="1"/>
  <c r="F53" i="1" a="1"/>
  <c r="F77" i="1" a="1"/>
  <c r="F38" i="1" a="1"/>
  <c r="F70" i="1" a="1"/>
  <c r="F102" i="1" a="1"/>
  <c r="F87" i="1" a="1"/>
  <c r="F119" i="1" a="1"/>
  <c r="F36" i="1" a="1"/>
  <c r="F68" i="1" a="1"/>
  <c r="F101" i="1" a="1"/>
  <c r="F115" i="1" a="1"/>
  <c r="F99" i="1" a="1"/>
  <c r="H79" i="1" a="1"/>
  <c r="H7" i="1" a="1"/>
  <c r="H32" i="1" a="1"/>
  <c r="H16" i="1" a="1"/>
  <c r="H49" i="1" a="1"/>
  <c r="H59" i="1" a="1"/>
  <c r="H87" i="1" a="1"/>
  <c r="H57" i="1" a="1"/>
  <c r="H110" i="1" a="1"/>
  <c r="H97" i="1" a="1"/>
  <c r="H91" i="1" a="1"/>
  <c r="H99" i="1" a="1"/>
  <c r="H61" i="1" a="1"/>
  <c r="H46" i="1" a="1"/>
  <c r="H5" i="1" a="1"/>
  <c r="F29" i="1" a="1"/>
  <c r="F61" i="1" a="1"/>
  <c r="F18" i="1" a="1"/>
  <c r="F50" i="1" a="1"/>
  <c r="F81" i="1" a="1"/>
  <c r="F100" i="1" a="1"/>
  <c r="F16" i="1" a="1"/>
  <c r="F48" i="1" a="1"/>
  <c r="F117" i="1" a="1"/>
  <c r="H104" i="1" a="1"/>
  <c r="H19" i="1" a="1"/>
  <c r="H112" i="1" a="1"/>
  <c r="H88" i="1" a="1"/>
  <c r="H54" i="1" a="1"/>
  <c r="H45" i="1" a="1"/>
  <c r="H9" i="1" a="1"/>
  <c r="H73" i="1" a="1"/>
  <c r="F69" i="1" a="1"/>
  <c r="F86" i="1" a="1"/>
  <c r="F103" i="1" a="1"/>
  <c r="F52" i="1" a="1"/>
  <c r="F122" i="1" a="1"/>
  <c r="H28" i="1" a="1"/>
  <c r="H39" i="1" a="1"/>
  <c r="H30" i="1" a="1"/>
  <c r="H77" i="1" a="1"/>
  <c r="H58" i="1" a="1"/>
  <c r="H15" i="1" a="1"/>
  <c r="H101" i="1" a="1"/>
  <c r="H20" i="1" a="1"/>
  <c r="H38" i="1" a="1"/>
  <c r="H38" i="1" l="1"/>
  <c r="H20" i="1"/>
  <c r="H101" i="1"/>
  <c r="H15" i="1"/>
  <c r="H58" i="1"/>
  <c r="H77" i="1"/>
  <c r="H30" i="1"/>
  <c r="H39" i="1"/>
  <c r="H28" i="1"/>
  <c r="F122" i="1"/>
  <c r="F52" i="1"/>
  <c r="F103" i="1"/>
  <c r="F86" i="1"/>
  <c r="F69" i="1"/>
  <c r="H73" i="1"/>
  <c r="H9" i="1"/>
  <c r="H45" i="1"/>
  <c r="H54" i="1"/>
  <c r="H88" i="1"/>
  <c r="H112" i="1"/>
  <c r="H19" i="1"/>
  <c r="H104" i="1"/>
  <c r="F117" i="1"/>
  <c r="F48" i="1"/>
  <c r="F16" i="1"/>
  <c r="F100" i="1"/>
  <c r="F81" i="1"/>
  <c r="F50" i="1"/>
  <c r="F18" i="1"/>
  <c r="F61" i="1"/>
  <c r="F29" i="1"/>
  <c r="H5" i="1"/>
  <c r="H46" i="1"/>
  <c r="H61" i="1"/>
  <c r="H99" i="1"/>
  <c r="H91" i="1"/>
  <c r="H97" i="1"/>
  <c r="H110" i="1"/>
  <c r="H57" i="1"/>
  <c r="H87" i="1"/>
  <c r="H59" i="1"/>
  <c r="H49" i="1"/>
  <c r="H16" i="1"/>
  <c r="H32" i="1"/>
  <c r="H7" i="1"/>
  <c r="H79" i="1"/>
  <c r="F99" i="1"/>
  <c r="F115" i="1"/>
  <c r="F101" i="1"/>
  <c r="F68" i="1"/>
  <c r="F36" i="1"/>
  <c r="F119" i="1"/>
  <c r="F87" i="1"/>
  <c r="F102" i="1"/>
  <c r="F70" i="1"/>
  <c r="F38" i="1"/>
  <c r="F77" i="1"/>
  <c r="F53" i="1"/>
  <c r="F21" i="1"/>
  <c r="H83" i="1"/>
  <c r="H65" i="1"/>
  <c r="H44" i="1"/>
  <c r="H115" i="1"/>
  <c r="H18" i="1"/>
  <c r="H68" i="1"/>
  <c r="F91" i="1"/>
  <c r="F85" i="1"/>
  <c r="F20" i="1"/>
  <c r="F118" i="1"/>
  <c r="F54" i="1"/>
  <c r="F22" i="1"/>
  <c r="F37" i="1"/>
  <c r="H103" i="1"/>
  <c r="H120" i="1"/>
  <c r="H95" i="1"/>
  <c r="H122" i="1"/>
  <c r="H107" i="1"/>
  <c r="H82" i="1"/>
  <c r="H63" i="1"/>
  <c r="F80" i="1"/>
  <c r="F82" i="1"/>
  <c r="F113" i="1"/>
  <c r="H106" i="1"/>
  <c r="H69" i="1"/>
  <c r="H17" i="1"/>
  <c r="H113" i="1"/>
  <c r="H3" i="1"/>
  <c r="H78" i="1"/>
  <c r="H24" i="1"/>
  <c r="H108" i="1"/>
  <c r="H52" i="1"/>
  <c r="H33" i="1"/>
  <c r="H25" i="1"/>
  <c r="H8" i="1"/>
  <c r="H51" i="1"/>
  <c r="H21" i="1"/>
  <c r="H85" i="1"/>
  <c r="F107" i="1"/>
  <c r="F104" i="1"/>
  <c r="F98" i="1"/>
  <c r="F64" i="1"/>
  <c r="F32" i="1"/>
  <c r="F116" i="1"/>
  <c r="F84" i="1"/>
  <c r="F97" i="1"/>
  <c r="F66" i="1"/>
  <c r="F34" i="1"/>
  <c r="F75" i="1"/>
  <c r="F45" i="1"/>
  <c r="F11" i="1"/>
  <c r="F13" i="1"/>
  <c r="F67" i="1"/>
  <c r="F59" i="1"/>
  <c r="F51" i="1"/>
  <c r="F43" i="1"/>
  <c r="F35" i="1"/>
  <c r="F27" i="1"/>
  <c r="F19" i="1"/>
  <c r="F9" i="1"/>
  <c r="H102" i="1"/>
  <c r="H4" i="1"/>
  <c r="H86" i="1"/>
  <c r="H114" i="1"/>
  <c r="H55" i="1"/>
  <c r="H40" i="1"/>
  <c r="H60" i="1"/>
  <c r="H10" i="1"/>
  <c r="H66" i="1"/>
  <c r="H13" i="1"/>
  <c r="H100" i="1"/>
  <c r="H36" i="1"/>
  <c r="H72" i="1"/>
  <c r="H92" i="1"/>
  <c r="H80" i="1"/>
  <c r="H98" i="1"/>
  <c r="H48" i="1"/>
  <c r="H105" i="1"/>
  <c r="H50" i="1"/>
  <c r="H64" i="1"/>
  <c r="H121" i="1"/>
  <c r="H111" i="1"/>
  <c r="H14" i="1"/>
  <c r="H56" i="1"/>
  <c r="H43" i="1"/>
  <c r="H27" i="1"/>
  <c r="H90" i="1"/>
  <c r="H31" i="1"/>
  <c r="H119" i="1"/>
  <c r="H70" i="1"/>
  <c r="F96" i="1"/>
  <c r="F120" i="1"/>
  <c r="F83" i="1"/>
  <c r="F109" i="1"/>
  <c r="F93" i="1"/>
  <c r="F76" i="1"/>
  <c r="F60" i="1"/>
  <c r="F44" i="1"/>
  <c r="F28" i="1"/>
  <c r="F12" i="1"/>
  <c r="F111" i="1"/>
  <c r="F95" i="1"/>
  <c r="F79" i="1"/>
  <c r="F110" i="1"/>
  <c r="F94" i="1"/>
  <c r="F78" i="1"/>
  <c r="F62" i="1"/>
  <c r="F46" i="1"/>
  <c r="F30" i="1"/>
  <c r="F14" i="1"/>
  <c r="F73" i="1"/>
  <c r="F65" i="1"/>
  <c r="F57" i="1"/>
  <c r="F49" i="1"/>
  <c r="F41" i="1"/>
  <c r="F33" i="1"/>
  <c r="F25" i="1"/>
  <c r="F17" i="1"/>
  <c r="F7" i="1"/>
  <c r="H94" i="1"/>
  <c r="H118" i="1"/>
  <c r="H109" i="1"/>
  <c r="H29" i="1"/>
  <c r="H6" i="1"/>
  <c r="H12" i="1"/>
  <c r="H67" i="1"/>
  <c r="H35" i="1"/>
  <c r="H41" i="1"/>
  <c r="H75" i="1"/>
  <c r="H116" i="1"/>
  <c r="H34" i="1"/>
  <c r="H96" i="1"/>
  <c r="H93" i="1"/>
  <c r="H76" i="1"/>
  <c r="H42" i="1"/>
  <c r="H26" i="1"/>
  <c r="H47" i="1"/>
  <c r="H23" i="1"/>
  <c r="H84" i="1"/>
  <c r="H89" i="1"/>
  <c r="H71" i="1"/>
  <c r="H37" i="1"/>
  <c r="H81" i="1"/>
  <c r="H74" i="1"/>
  <c r="H53" i="1"/>
  <c r="H62" i="1"/>
  <c r="H11" i="1"/>
  <c r="H22" i="1"/>
  <c r="H117" i="1"/>
  <c r="F112" i="1"/>
  <c r="F88" i="1"/>
  <c r="F114" i="1"/>
  <c r="F106" i="1"/>
  <c r="F90" i="1"/>
  <c r="F72" i="1"/>
  <c r="F56" i="1"/>
  <c r="F40" i="1"/>
  <c r="F24" i="1"/>
  <c r="F8" i="1"/>
  <c r="F108" i="1"/>
  <c r="F92" i="1"/>
  <c r="F121" i="1"/>
  <c r="F105" i="1"/>
  <c r="F89" i="1"/>
  <c r="F74" i="1"/>
  <c r="F58" i="1"/>
  <c r="F42" i="1"/>
  <c r="F26" i="1"/>
  <c r="F10" i="1"/>
  <c r="F71" i="1"/>
  <c r="F63" i="1"/>
  <c r="F55" i="1"/>
  <c r="F47" i="1"/>
  <c r="F39" i="1"/>
  <c r="F31" i="1"/>
  <c r="F23" i="1"/>
  <c r="F15" i="1"/>
  <c r="F5" i="1"/>
  <c r="F3" i="1"/>
  <c r="F6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<sst xmlns="http://schemas.openxmlformats.org/spreadsheetml/2006/main" count="139" uniqueCount="19">
  <si>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</si>
  <si>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</si>
  <si>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</si>
  <si>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</si>
  <si>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</si>
  <si>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</si>
  <si>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</si>
  <si>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</si>
  <si>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</si>
  <si>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</si>
  <si>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</si>
  <si>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</si>
  <si>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</si>
  <si>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</si>
  <si>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</si>
  <si>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 Multi</t>
  </si>
  <si>
    <t>Alerta de Estoque</t>
  </si>
  <si>
    <t>Nossa_funcao_SE</t>
  </si>
  <si>
    <t>Maior valor 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</si>
</sst>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0" fontId="5" fillId="3" borderId="7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1371600</xdr:colOff>
          <xdr:row>0</xdr:row>
          <xdr:rowOff>76200</xdr:rowOff>
        </xdr:from>
        <xdr:to>
          <xdr:col>7</xdr:col>
          <xdr:colOff>1419225</xdr:colOff>
          <xdr:row>0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4"/>
  <sheetViews>
    <sheetView showGridLines="0" tabSelected="1" zoomScaleNormal="100" workbookViewId="0">
      <pane ySplit="2" topLeftCell="A15" activePane="bottomLeft" state="frozen"/>
      <selection pane="bottomLeft" activeCell="B2" sqref="B2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37.5" customHeight="1" thickBot="1" x14ac:dyDescent="0.3">
      <c r="A1" s="22" t="s">
        <v>3</v>
      </c>
      <c r="B1" s="23"/>
      <c r="C1" s="23"/>
      <c r="D1" s="23"/>
      <c r="E1" s="23"/>
      <c r="F1" s="23"/>
      <c r="G1" s="23"/>
      <c r="H1" s="23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Nossa_SE(D3,"Estoque Baixo","Estoque Normal")</f>
        <v>Estoque Baixo</v>
      </c>
      <c r="G3" s="11" t="str">
        <f>IF(D3&lt;15,"Estoque Baixo","Estoque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Nossa_SE(D4,"Estoque Baixo","Estoque Normal")</f>
        <v>Estoque Baixo</v>
      </c>
      <c r="G4" s="11" t="str">
        <f t="shared" ref="G4:G67" si="1">IF(D4&lt;15,"Estoque Baixo","Estoque Normal")</f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Nossa_SE(D5,"Estoque Baixo","Estoque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Nossa_SE(D6,"Estoque Baixo","Estoque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Nossa_SE(D7,"Estoque Baixo","Estoque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Nossa_SE(D8,"Estoque Baixo","Estoque Normal")</f>
        <v>Estoque Baixo</v>
      </c>
      <c r="G8" s="11" t="str">
        <f t="shared" si="1"/>
        <v>Estoque Baixo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Nossa_SE(D9,"Estoque Baixo","Estoque Normal")</f>
        <v>Estoque Baixo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Nossa_SE(D10,"Estoque Baixo","Estoque Normal")</f>
        <v>Estoque Baixo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Nossa_SE(D11,"Estoque Baixo","Estoque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Nossa_SE(D12,"Estoque Baixo","Estoque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Nossa_SE(D13,"Estoque Baixo","Estoque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Nossa_SE(D14,"Estoque Baixo","Estoque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Nossa_SE(D15,"Estoque Baixo","Estoque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Nossa_SE(D16,"Estoque Baixo","Estoque Normal")</f>
        <v>Estoque Baixo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Nossa_SE(D17,"Estoque Baixo","Estoque Normal")</f>
        <v>Estoque Baixo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Nossa_SE(D18,"Estoque Baixo","Estoque Normal")</f>
        <v>Estoque Baixo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Nossa_SE(D19,"Estoque Baixo","Estoque Normal")</f>
        <v>Estoque Baixo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Nossa_SE(D20,"Estoque Baixo","Estoque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Nossa_SE(D21,"Estoque Baixo","Estoque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Nossa_SE(D22,"Estoque Baixo","Estoque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Nossa_SE(D23,"Estoque Baixo","Estoque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Nossa_SE(D24,"Estoque Baixo","Estoque Normal")</f>
        <v>Estoque Baixo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Nossa_SE(D25,"Estoque Baixo","Estoque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Nossa_SE(D26,"Estoque Baixo","Estoque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Nossa_SE(D27,"Estoque Baixo","Estoque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Nossa_SE(D28,"Estoque Baixo","Estoque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Nossa_SE(D29,"Estoque Baixo","Estoque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Nossa_SE(D30,"Estoque Baixo","Estoque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Nossa_SE(D31,"Estoque Baixo","Estoque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Nossa_SE(D32,"Estoque Baixo","Estoque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Nossa_SE(D33,"Estoque Baixo","Estoque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Nossa_SE(D34,"Estoque Baixo","Estoque Normal")</f>
        <v>Estoque Baixo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Nossa_SE(D35,"Estoque Baixo","Estoque Normal")</f>
        <v>Estoque Baixo</v>
      </c>
      <c r="G35" s="11" t="str">
        <f t="shared" si="1"/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Nossa_SE(D36,"Estoque Baixo","Estoque Normal")</f>
        <v>Estoque Baixo</v>
      </c>
      <c r="G36" s="11" t="str">
        <f t="shared" si="1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Nossa_SE(D37,"Estoque Baixo","Estoque Normal")</f>
        <v>Estoque Baixo</v>
      </c>
      <c r="G37" s="11" t="str">
        <f t="shared" si="1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Nossa_SE(D38,"Estoque Baixo","Estoque Normal")</f>
        <v>Estoque Baixo</v>
      </c>
      <c r="G38" s="11" t="str">
        <f t="shared" si="1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Nossa_SE(D39,"Estoque Baixo","Estoque Normal")</f>
        <v>Estoque Baixo</v>
      </c>
      <c r="G39" s="11" t="str">
        <f t="shared" si="1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Nossa_SE(D40,"Estoque Baixo","Estoque Normal")</f>
        <v>Estoque Baixo</v>
      </c>
      <c r="G40" s="11" t="str">
        <f t="shared" si="1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Nossa_SE(D41,"Estoque Baixo","Estoque Normal")</f>
        <v>Estoque Baixo</v>
      </c>
      <c r="G41" s="11" t="str">
        <f t="shared" si="1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Nossa_SE(D42,"Estoque Baixo","Estoque Normal")</f>
        <v>Estoque Baixo</v>
      </c>
      <c r="G42" s="11" t="str">
        <f t="shared" si="1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Nossa_SE(D43,"Estoque Baixo","Estoque Normal")</f>
        <v>Estoque Baixo</v>
      </c>
      <c r="G43" s="11" t="str">
        <f t="shared" si="1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Nossa_SE(D44,"Estoque Baixo","Estoque Normal")</f>
        <v>Estoque Baixo</v>
      </c>
      <c r="G44" s="11" t="str">
        <f t="shared" si="1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Nossa_SE(D45,"Estoque Baixo","Estoque Normal")</f>
        <v>Estoque Baixo</v>
      </c>
      <c r="G45" s="11" t="str">
        <f t="shared" si="1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Nossa_SE(D46,"Estoque Baixo","Estoque Normal")</f>
        <v>Estoque Baixo</v>
      </c>
      <c r="G46" s="11" t="str">
        <f t="shared" si="1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Nossa_SE(D47,"Estoque Baixo","Estoque Normal")</f>
        <v>Estoque Baixo</v>
      </c>
      <c r="G47" s="11" t="str">
        <f t="shared" si="1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Nossa_SE(D48,"Estoque Baixo","Estoque Normal")</f>
        <v>Estoque Baixo</v>
      </c>
      <c r="G48" s="11" t="str">
        <f t="shared" si="1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Nossa_SE(D49,"Estoque Baixo","Estoque Normal")</f>
        <v>Estoque Baixo</v>
      </c>
      <c r="G49" s="11" t="str">
        <f t="shared" si="1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Nossa_SE(D50,"Estoque Baixo","Estoque Normal")</f>
        <v>Estoque Baixo</v>
      </c>
      <c r="G50" s="11" t="str">
        <f t="shared" si="1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Nossa_SE(D51,"Estoque Baixo","Estoque Normal")</f>
        <v>Estoque Baixo</v>
      </c>
      <c r="G51" s="11" t="str">
        <f t="shared" si="1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Nossa_SE(D52,"Estoque Baixo","Estoque Normal")</f>
        <v>Estoque Baixo</v>
      </c>
      <c r="G52" s="11" t="str">
        <f t="shared" si="1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Nossa_SE(D53,"Estoque Baixo","Estoque Normal")</f>
        <v>Estoque Baixo</v>
      </c>
      <c r="G53" s="11" t="str">
        <f t="shared" si="1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Nossa_SE(D54,"Estoque Baixo","Estoque Normal")</f>
        <v>Estoque Baixo</v>
      </c>
      <c r="G54" s="11" t="str">
        <f t="shared" si="1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Nossa_SE(D55,"Estoque Baixo","Estoque Normal")</f>
        <v>Estoque Baixo</v>
      </c>
      <c r="G55" s="11" t="str">
        <f t="shared" si="1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Nossa_SE(D56,"Estoque Baixo","Estoque Normal")</f>
        <v>Estoque Baixo</v>
      </c>
      <c r="G56" s="11" t="str">
        <f t="shared" si="1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Nossa_SE(D57,"Estoque Baixo","Estoque Normal")</f>
        <v>Estoque Baixo</v>
      </c>
      <c r="G57" s="11" t="str">
        <f t="shared" si="1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Nossa_SE(D58,"Estoque Baixo","Estoque Normal")</f>
        <v>Estoque Baixo</v>
      </c>
      <c r="G58" s="11" t="str">
        <f t="shared" si="1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Nossa_SE(D59,"Estoque Baixo","Estoque Normal")</f>
        <v>Estoque Normal</v>
      </c>
      <c r="G59" s="11" t="str">
        <f t="shared" si="1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Nossa_SE(D60,"Estoque Baixo","Estoque Normal")</f>
        <v>Estoque Baixo</v>
      </c>
      <c r="G60" s="11" t="str">
        <f t="shared" si="1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Nossa_SE(D61,"Estoque Baixo","Estoque Normal")</f>
        <v>Estoque Baixo</v>
      </c>
      <c r="G61" s="11" t="str">
        <f t="shared" si="1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Nossa_SE(D62,"Estoque Baixo","Estoque Normal")</f>
        <v>Estoque Baixo</v>
      </c>
      <c r="G62" s="11" t="str">
        <f t="shared" si="1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Nossa_SE(D63,"Estoque Baixo","Estoque Normal")</f>
        <v>Estoque Baixo</v>
      </c>
      <c r="G63" s="11" t="str">
        <f t="shared" si="1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Nossa_SE(D64,"Estoque Baixo","Estoque Normal")</f>
        <v>Estoque Baixo</v>
      </c>
      <c r="G64" s="11" t="str">
        <f t="shared" si="1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Nossa_SE(D65,"Estoque Baixo","Estoque Normal")</f>
        <v>Estoque Baixo</v>
      </c>
      <c r="G65" s="11" t="str">
        <f t="shared" si="1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Nossa_SE(D66,"Estoque Baixo","Estoque Normal")</f>
        <v>Estoque Baixo</v>
      </c>
      <c r="G66" s="11" t="str">
        <f t="shared" si="1"/>
        <v>Estoque Baixo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3">C67*D67</f>
        <v>1197</v>
      </c>
      <c r="F67" s="11" t="str" cm="1">
        <f t="array" ref="F67">Nossa_SE(D67,"Estoque Baixo","Estoque Normal")</f>
        <v>Estoque Baixo</v>
      </c>
      <c r="G67" s="11" t="str">
        <f t="shared" si="1"/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3"/>
        <v>1995</v>
      </c>
      <c r="F68" s="11" t="str" cm="1">
        <f t="array" ref="F68">Nossa_SE(D68,"Estoque Baixo","Estoque Normal")</f>
        <v>Estoque Baixo</v>
      </c>
      <c r="G68" s="11" t="str">
        <f t="shared" ref="G68:G122" si="4">IF(D68&lt;15,"Estoque Baixo","Estoque Normal")</f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3"/>
        <v>171</v>
      </c>
      <c r="F69" s="11" t="str" cm="1">
        <f t="array" ref="F69">Nossa_SE(D69,"Estoque Baixo","Estoque Normal")</f>
        <v>Estoque Baixo</v>
      </c>
      <c r="G69" s="11" t="str">
        <f t="shared" si="4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3"/>
        <v>1624.5</v>
      </c>
      <c r="F70" s="11" t="str" cm="1">
        <f t="array" ref="F70">Nossa_SE(D70,"Estoque Baixo","Estoque Normal")</f>
        <v>Estoque Baixo</v>
      </c>
      <c r="G70" s="11" t="str">
        <f t="shared" si="4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3"/>
        <v>513</v>
      </c>
      <c r="F71" s="11" t="str" cm="1">
        <f t="array" ref="F71">Nossa_SE(D71,"Estoque Baixo","Estoque Normal")</f>
        <v>Estoque Baixo</v>
      </c>
      <c r="G71" s="11" t="str">
        <f t="shared" si="4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3"/>
        <v>1276.8</v>
      </c>
      <c r="F72" s="11" t="str" cm="1">
        <f t="array" ref="F72">Nossa_SE(D72,"Estoque Baixo","Estoque Normal")</f>
        <v>Estoque Baixo</v>
      </c>
      <c r="G72" s="11" t="str">
        <f t="shared" si="4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3"/>
        <v>718.19999999999993</v>
      </c>
      <c r="F73" s="11" t="str" cm="1">
        <f t="array" ref="F73">Nossa_SE(D73,"Estoque Baixo","Estoque Normal")</f>
        <v>Estoque Baixo</v>
      </c>
      <c r="G73" s="11" t="str">
        <f t="shared" si="4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3"/>
        <v>1197</v>
      </c>
      <c r="F74" s="11" t="str" cm="1">
        <f t="array" ref="F74">Nossa_SE(D74,"Estoque Baixo","Estoque Normal")</f>
        <v>Estoque Baixo</v>
      </c>
      <c r="G74" s="11" t="str">
        <f t="shared" si="4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3"/>
        <v>2137.5</v>
      </c>
      <c r="F75" s="11" t="str" cm="1">
        <f t="array" ref="F75">Nossa_SE(D75,"Estoque Baixo","Estoque Normal")</f>
        <v>Estoque Baixo</v>
      </c>
      <c r="G75" s="11" t="str">
        <f t="shared" si="4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3"/>
        <v>1368</v>
      </c>
      <c r="F76" s="11" t="str" cm="1">
        <f t="array" ref="F76">Nossa_SE(D76,"Estoque Baixo","Estoque Normal")</f>
        <v>Estoque Baixo</v>
      </c>
      <c r="G76" s="11" t="str">
        <f t="shared" si="4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3"/>
        <v>2137.5</v>
      </c>
      <c r="F77" s="11" t="str" cm="1">
        <f t="array" ref="F77">Nossa_SE(D77,"Estoque Baixo","Estoque Normal")</f>
        <v>Estoque Baixo</v>
      </c>
      <c r="G77" s="11" t="str">
        <f t="shared" si="4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3"/>
        <v>1197</v>
      </c>
      <c r="F78" s="11" t="str" cm="1">
        <f t="array" ref="F78">Nossa_SE(D78,"Estoque Baixo","Estoque Normal")</f>
        <v>Estoque Baixo</v>
      </c>
      <c r="G78" s="11" t="str">
        <f t="shared" si="4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3"/>
        <v>638.4</v>
      </c>
      <c r="F79" s="11" t="str" cm="1">
        <f t="array" ref="F79">Nossa_SE(D79,"Estoque Baixo","Estoque Normal")</f>
        <v>Estoque Baixo</v>
      </c>
      <c r="G79" s="11" t="str">
        <f t="shared" si="4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3"/>
        <v>1835.3999999999999</v>
      </c>
      <c r="F80" s="11" t="str" cm="1">
        <f t="array" ref="F80">Nossa_SE(D80,"Estoque Baixo","Estoque Normal")</f>
        <v>Estoque Baixo</v>
      </c>
      <c r="G80" s="11" t="str">
        <f t="shared" si="4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3"/>
        <v>171</v>
      </c>
      <c r="F81" s="11" t="str" cm="1">
        <f t="array" ref="F81">Nossa_SE(D81,"Estoque Baixo","Estoque Normal")</f>
        <v>Estoque Baixo</v>
      </c>
      <c r="G81" s="11" t="str">
        <f t="shared" si="4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3"/>
        <v>427.5</v>
      </c>
      <c r="F82" s="11" t="str" cm="1">
        <f t="array" ref="F82">Nossa_SE(D82,"Estoque Baixo","Estoque Normal")</f>
        <v>Estoque Baixo</v>
      </c>
      <c r="G82" s="11" t="str">
        <f t="shared" si="4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3"/>
        <v>0</v>
      </c>
      <c r="F83" s="11" t="str" cm="1">
        <f t="array" ref="F83">Nossa_SE(D83,"Estoque Baixo","Estoque Normal")</f>
        <v>Estoque Baixo</v>
      </c>
      <c r="G83" s="11" t="str">
        <f t="shared" si="4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3"/>
        <v>1276.8</v>
      </c>
      <c r="F84" s="11" t="str" cm="1">
        <f t="array" ref="F84">Nossa_SE(D84,"Estoque Baixo","Estoque Normal")</f>
        <v>Estoque Baixo</v>
      </c>
      <c r="G84" s="11" t="str">
        <f t="shared" si="4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3"/>
        <v>478.79999999999995</v>
      </c>
      <c r="F85" s="11" t="str" cm="1">
        <f t="array" ref="F85">Nossa_SE(D85,"Estoque Baixo","Estoque Normal")</f>
        <v>Estoque Baixo</v>
      </c>
      <c r="G85" s="11" t="str">
        <f t="shared" si="4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3"/>
        <v>638.4</v>
      </c>
      <c r="F86" s="11" t="str" cm="1">
        <f t="array" ref="F86">Nossa_SE(D86,"Estoque Baixo","Estoque Normal")</f>
        <v>Estoque Baixo</v>
      </c>
      <c r="G86" s="11" t="str">
        <f t="shared" si="4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3"/>
        <v>684</v>
      </c>
      <c r="F87" s="11" t="str" cm="1">
        <f t="array" ref="F87">Nossa_SE(D87,"Estoque Baixo","Estoque Normal")</f>
        <v>Estoque Baixo</v>
      </c>
      <c r="G87" s="11" t="str">
        <f t="shared" si="4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3"/>
        <v>0</v>
      </c>
      <c r="F88" s="11" t="str" cm="1">
        <f t="array" ref="F88">Nossa_SE(D88,"Estoque Baixo","Estoque Normal")</f>
        <v>Estoque Baixo</v>
      </c>
      <c r="G88" s="11" t="str">
        <f t="shared" si="4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3"/>
        <v>427.5</v>
      </c>
      <c r="F89" s="11" t="str" cm="1">
        <f t="array" ref="F89">Nossa_SE(D89,"Estoque Baixo","Estoque Normal")</f>
        <v>Estoque Baixo</v>
      </c>
      <c r="G89" s="11" t="str">
        <f t="shared" si="4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3"/>
        <v>399</v>
      </c>
      <c r="F90" s="11" t="str" cm="1">
        <f t="array" ref="F90">Nossa_SE(D90,"Estoque Baixo","Estoque Normal")</f>
        <v>Estoque Baixo</v>
      </c>
      <c r="G90" s="11" t="str">
        <f t="shared" si="4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3"/>
        <v>0</v>
      </c>
      <c r="F91" s="11" t="str" cm="1">
        <f t="array" ref="F91">Nossa_SE(D91,"Estoque Baixo","Estoque Normal")</f>
        <v>Estoque Baixo</v>
      </c>
      <c r="G91" s="11" t="str">
        <f t="shared" si="4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3"/>
        <v>399</v>
      </c>
      <c r="F92" s="11" t="str" cm="1">
        <f t="array" ref="F92">Nossa_SE(D92,"Estoque Baixo","Estoque Normal")</f>
        <v>Estoque Baixo</v>
      </c>
      <c r="G92" s="11" t="str">
        <f t="shared" si="4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3"/>
        <v>427.5</v>
      </c>
      <c r="F93" s="11" t="str" cm="1">
        <f t="array" ref="F93">Nossa_SE(D93,"Estoque Baixo","Estoque Normal")</f>
        <v>Estoque Baixo</v>
      </c>
      <c r="G93" s="11" t="str">
        <f t="shared" si="4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3"/>
        <v>1624.5</v>
      </c>
      <c r="F94" s="11" t="str" cm="1">
        <f t="array" ref="F94">Nossa_SE(D94,"Estoque Baixo","Estoque Normal")</f>
        <v>Estoque Baixo</v>
      </c>
      <c r="G94" s="11" t="str">
        <f t="shared" si="4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3"/>
        <v>1624.5</v>
      </c>
      <c r="F95" s="11" t="str" cm="1">
        <f t="array" ref="F95">Nossa_SE(D95,"Estoque Baixo","Estoque Normal")</f>
        <v>Estoque Baixo</v>
      </c>
      <c r="G95" s="11" t="str">
        <f t="shared" si="4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3"/>
        <v>0</v>
      </c>
      <c r="F96" s="11" t="str" cm="1">
        <f t="array" ref="F96">Nossa_SE(D96,"Estoque Baixo","Estoque Normal")</f>
        <v>Estoque Baixo</v>
      </c>
      <c r="G96" s="11" t="str">
        <f t="shared" si="4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3"/>
        <v>0</v>
      </c>
      <c r="F97" s="11" t="str" cm="1">
        <f t="array" ref="F97">Nossa_SE(D97,"Estoque Baixo","Estoque Normal")</f>
        <v>Estoque Baixo</v>
      </c>
      <c r="G97" s="11" t="str">
        <f t="shared" si="4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3"/>
        <v>957.59999999999991</v>
      </c>
      <c r="F98" s="11" t="str" cm="1">
        <f t="array" ref="F98">Nossa_SE(D98,"Estoque Baixo","Estoque Normal")</f>
        <v>Estoque Baixo</v>
      </c>
      <c r="G98" s="11" t="str">
        <f t="shared" si="4"/>
        <v>Estoque Baixo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5">C99*D99</f>
        <v>1368</v>
      </c>
      <c r="F99" s="11" t="str" cm="1">
        <f t="array" ref="F99">Nossa_SE(D99,"Estoque Baixo","Estoque Normal")</f>
        <v>Estoque Baixo</v>
      </c>
      <c r="G99" s="11" t="str">
        <f t="shared" si="4"/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5"/>
        <v>1368</v>
      </c>
      <c r="F100" s="11" t="str" cm="1">
        <f t="array" ref="F100">Nossa_SE(D100,"Estoque Baixo","Estoque Normal")</f>
        <v>Estoque Baixo</v>
      </c>
      <c r="G100" s="11" t="str">
        <f t="shared" si="4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5"/>
        <v>1539</v>
      </c>
      <c r="F101" s="11" t="str" cm="1">
        <f t="array" ref="F101">Nossa_SE(D101,"Estoque Baixo","Estoque Normal")</f>
        <v>Estoque Baixo</v>
      </c>
      <c r="G101" s="11" t="str">
        <f t="shared" si="4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5"/>
        <v>79.8</v>
      </c>
      <c r="F102" s="11" t="str" cm="1">
        <f t="array" ref="F102">Nossa_SE(D102,"Estoque Baixo","Estoque Normal")</f>
        <v>Estoque Baixo</v>
      </c>
      <c r="G102" s="11" t="str">
        <f t="shared" si="4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5"/>
        <v>79.8</v>
      </c>
      <c r="F103" s="11" t="str" cm="1">
        <f t="array" ref="F103">Nossa_SE(D103,"Estoque Baixo","Estoque Normal")</f>
        <v>Estoque Baixo</v>
      </c>
      <c r="G103" s="11" t="str">
        <f t="shared" si="4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5"/>
        <v>1675.8</v>
      </c>
      <c r="F104" s="11" t="str" cm="1">
        <f t="array" ref="F104">Nossa_SE(D104,"Estoque Baixo","Estoque Normal")</f>
        <v>Estoque Baixo</v>
      </c>
      <c r="G104" s="11" t="str">
        <f t="shared" si="4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5"/>
        <v>684</v>
      </c>
      <c r="F105" s="11" t="str" cm="1">
        <f t="array" ref="F105">Nossa_SE(D105,"Estoque Baixo","Estoque Normal")</f>
        <v>Estoque Baixo</v>
      </c>
      <c r="G105" s="11" t="str">
        <f t="shared" si="4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5"/>
        <v>2137.5</v>
      </c>
      <c r="F106" s="11" t="str" cm="1">
        <f t="array" ref="F106">Nossa_SE(D106,"Estoque Baixo","Estoque Normal")</f>
        <v>Estoque Baixo</v>
      </c>
      <c r="G106" s="11" t="str">
        <f t="shared" si="4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5"/>
        <v>1368</v>
      </c>
      <c r="F107" s="11" t="str" cm="1">
        <f t="array" ref="F107">Nossa_SE(D107,"Estoque Baixo","Estoque Normal")</f>
        <v>Estoque Baixo</v>
      </c>
      <c r="G107" s="11" t="str">
        <f t="shared" si="4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5"/>
        <v>239.39999999999998</v>
      </c>
      <c r="F108" s="11" t="str" cm="1">
        <f t="array" ref="F108">Nossa_SE(D108,"Estoque Baixo","Estoque Normal")</f>
        <v>Estoque Baixo</v>
      </c>
      <c r="G108" s="11" t="str">
        <f t="shared" si="4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5"/>
        <v>159.6</v>
      </c>
      <c r="F109" s="11" t="str" cm="1">
        <f t="array" ref="F109">Nossa_SE(D109,"Estoque Baixo","Estoque Normal")</f>
        <v>Estoque Baixo</v>
      </c>
      <c r="G109" s="11" t="str">
        <f t="shared" si="4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5"/>
        <v>239.39999999999998</v>
      </c>
      <c r="F110" s="11" t="str" cm="1">
        <f t="array" ref="F110">Nossa_SE(D110,"Estoque Baixo","Estoque Normal")</f>
        <v>Estoque Baixo</v>
      </c>
      <c r="G110" s="11" t="str">
        <f t="shared" si="4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5"/>
        <v>256.5</v>
      </c>
      <c r="F111" s="11" t="str" cm="1">
        <f t="array" ref="F111">Nossa_SE(D111,"Estoque Baixo","Estoque Normal")</f>
        <v>Estoque Baixo</v>
      </c>
      <c r="G111" s="11" t="str">
        <f t="shared" si="4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5"/>
        <v>1282.5</v>
      </c>
      <c r="F112" s="11" t="str" cm="1">
        <f t="array" ref="F112">Nossa_SE(D112,"Estoque Baixo","Estoque Normal")</f>
        <v>Estoque Baixo</v>
      </c>
      <c r="G112" s="11" t="str">
        <f t="shared" si="4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5"/>
        <v>427.5</v>
      </c>
      <c r="F113" s="11" t="str" cm="1">
        <f t="array" ref="F113">Nossa_SE(D113,"Estoque Baixo","Estoque Normal")</f>
        <v>Estoque Baixo</v>
      </c>
      <c r="G113" s="11" t="str">
        <f t="shared" si="4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5"/>
        <v>159.6</v>
      </c>
      <c r="F114" s="11" t="str" cm="1">
        <f t="array" ref="F114">Nossa_SE(D114,"Estoque Baixo","Estoque Normal")</f>
        <v>Estoque Baixo</v>
      </c>
      <c r="G114" s="11" t="str">
        <f t="shared" si="4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5"/>
        <v>1197</v>
      </c>
      <c r="F115" s="11" t="str" cm="1">
        <f t="array" ref="F115">Nossa_SE(D115,"Estoque Baixo","Estoque Normal")</f>
        <v>Estoque Baixo</v>
      </c>
      <c r="G115" s="11" t="str">
        <f t="shared" si="4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5"/>
        <v>0</v>
      </c>
      <c r="F116" s="11" t="str" cm="1">
        <f t="array" ref="F116">Nossa_SE(D116,"Estoque Baixo","Estoque Normal")</f>
        <v>Estoque Baixo</v>
      </c>
      <c r="G116" s="11" t="str">
        <f t="shared" si="4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5"/>
        <v>0</v>
      </c>
      <c r="F117" s="11" t="str" cm="1">
        <f t="array" ref="F117">Nossa_SE(D117,"Estoque Baixo","Estoque Normal")</f>
        <v>Estoque Baixo</v>
      </c>
      <c r="G117" s="11" t="str">
        <f t="shared" si="4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5"/>
        <v>513</v>
      </c>
      <c r="F118" s="11" t="str" cm="1">
        <f t="array" ref="F118">Nossa_SE(D118,"Estoque Baixo","Estoque Normal")</f>
        <v>Estoque Baixo</v>
      </c>
      <c r="G118" s="11" t="str">
        <f t="shared" si="4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5"/>
        <v>171</v>
      </c>
      <c r="F119" s="11" t="str" cm="1">
        <f t="array" ref="F119">Nossa_SE(D119,"Estoque Baixo","Estoque Normal")</f>
        <v>Estoque Baixo</v>
      </c>
      <c r="G119" s="11" t="str">
        <f t="shared" si="4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5"/>
        <v>1995</v>
      </c>
      <c r="F120" s="11" t="str" cm="1">
        <f t="array" ref="F120">Nossa_SE(D120,"Estoque Baixo","Estoque Normal")</f>
        <v>Estoque Baixo</v>
      </c>
      <c r="G120" s="11" t="str">
        <f t="shared" si="4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5"/>
        <v>1356.6</v>
      </c>
      <c r="F121" s="11" t="str" cm="1">
        <f t="array" ref="F121">Nossa_SE(D121,"Estoque Baixo","Estoque Normal")</f>
        <v>Estoque Baixo</v>
      </c>
      <c r="G121" s="11" t="str">
        <f t="shared" si="4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5"/>
        <v>1197</v>
      </c>
      <c r="F122" s="11" t="str" cm="1">
        <f t="array" ref="F122">Nossa_SE(D122,"Estoque Baixo","Estoque Normal")</f>
        <v>Estoque Baixo</v>
      </c>
      <c r="G122" s="11" t="str">
        <f t="shared" si="4"/>
        <v>Estoque Normal</v>
      </c>
      <c r="H122" s="11" cm="1">
        <f t="array" ref="H122">Nossa_MULT(C122,D122)</f>
        <v>1197</v>
      </c>
    </row>
    <row r="123" spans="1:8" ht="19.5" thickBot="1" x14ac:dyDescent="0.35">
      <c r="A123" s="19" t="s">
        <v>18</v>
      </c>
      <c r="B123" s="20"/>
      <c r="C123" s="20"/>
      <c r="D123" s="21"/>
      <c r="E123" s="7" cm="1">
        <f t="array" ref="E123">Nossa_Maximo(E122)</f>
        <v>0</v>
      </c>
      <c r="F123" s="7"/>
      <c r="G123" s="7"/>
      <c r="H123" s="7"/>
    </row>
    <row r="124" spans="1:8" s="8" customFormat="1" ht="19.5" thickBot="1" x14ac:dyDescent="0.35">
      <c r="A124" s="6"/>
      <c r="B124" s="4" t="s">
        <v>2</v>
      </c>
      <c r="C124" s="7">
        <f>SUM(C3:C122)</f>
        <v>10136.399999999998</v>
      </c>
      <c r="D124" s="5">
        <f>SUM(D3:D122)</f>
        <v>1273</v>
      </c>
      <c r="E124" s="7">
        <f>SUM(E3:E123)</f>
        <v>107424.20000000001</v>
      </c>
      <c r="F124" s="7"/>
      <c r="G124" s="7"/>
      <c r="H124" s="7"/>
    </row>
  </sheetData>
  <sortState xmlns:xlrd2="http://schemas.microsoft.com/office/spreadsheetml/2017/richdata2" ref="A3:E122">
    <sortCondition descending="1" ref="B3:B122"/>
  </sortState>
  <mergeCells count="2">
    <mergeCell ref="A1:H1"/>
    <mergeCell ref="A123:D1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6</xdr:col>
                    <xdr:colOff>1371600</xdr:colOff>
                    <xdr:row>0</xdr:row>
                    <xdr:rowOff>76200</xdr:rowOff>
                  </from>
                  <to>
                    <xdr:col>7</xdr:col>
                    <xdr:colOff>1419225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www.w3.org/XML/1998/namespace"/>
    <ds:schemaRef ds:uri="http://purl.org/dc/terms/"/>
    <ds:schemaRef ds:uri="http://purl.org/dc/elements/1.1/"/>
    <ds:schemaRef ds:uri="4f05b7ab-9a2f-41ed-818c-74617ab702a7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2021-07-29T21:35:18Z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